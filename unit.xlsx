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Пример экономики проекта" sheetId="1" r:id="rId5"/>
  </sheets>
  <definedNames/>
  <calcPr/>
</workbook>
</file>

<file path=xl/sharedStrings.xml><?xml version="1.0" encoding="utf-8"?>
<sst xmlns="http://schemas.openxmlformats.org/spreadsheetml/2006/main" count="38" uniqueCount="36">
  <si>
    <t>№</t>
  </si>
  <si>
    <t>Unit</t>
  </si>
  <si>
    <t>Тип ЦА</t>
  </si>
  <si>
    <t>1. Переменные расходы</t>
  </si>
  <si>
    <t>2. Переменные расходы
/1 покупатель</t>
  </si>
  <si>
    <t>3. Доходы</t>
  </si>
  <si>
    <t>4. Доходы/1 покупатель</t>
  </si>
  <si>
    <t>5. Маржинальная прибыль</t>
  </si>
  <si>
    <t>стоимость привлечения</t>
  </si>
  <si>
    <t>стоимость реализации</t>
  </si>
  <si>
    <t>всего</t>
  </si>
  <si>
    <t>на 1 покупателя</t>
  </si>
  <si>
    <t>на всех покупателей за запуск</t>
  </si>
  <si>
    <t>ставка маржинальности</t>
  </si>
  <si>
    <t>Постоянные расходы / месяц</t>
  </si>
  <si>
    <t>Buyers</t>
  </si>
  <si>
    <t>Marketing Costs</t>
  </si>
  <si>
    <t>расходные материалы</t>
  </si>
  <si>
    <t>ставка специалиста/1 час</t>
  </si>
  <si>
    <t>длительность оказания услуги, час</t>
  </si>
  <si>
    <t>стоимость оказания услуги</t>
  </si>
  <si>
    <t>бонусы продаж</t>
  </si>
  <si>
    <t>CAC</t>
  </si>
  <si>
    <t>COGS</t>
  </si>
  <si>
    <t>Revenue</t>
  </si>
  <si>
    <t>AvP</t>
  </si>
  <si>
    <t>APC</t>
  </si>
  <si>
    <t>ARPPU</t>
  </si>
  <si>
    <t>аренда производственного помещения</t>
  </si>
  <si>
    <t>ФОТ 
(функция РП)</t>
  </si>
  <si>
    <t>инфраструктура и ЖКХ</t>
  </si>
  <si>
    <t>Month (Average)</t>
  </si>
  <si>
    <t>Подписка на AI Task Manager</t>
  </si>
  <si>
    <t>Студент / работающий</t>
  </si>
  <si>
    <t>ВСЕГО</t>
  </si>
  <si>
    <t>ПРИБЫЛЬ КОМАНДЫ ПРОЕКТА, 1 МЕС.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</si>
</sst>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5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i/>
      <sz val="8.0"/>
      <color theme="1"/>
      <name val="Arial"/>
      <scheme val="minor"/>
    </font>
    <font>
      <b/>
      <i/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BC34A"/>
        <bgColor rgb="FF8BC34A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  <fill>
      <patternFill patternType="solid">
        <fgColor rgb="FFFFE6DA"/>
        <bgColor rgb="FFFFE6DA"/>
      </patternFill>
    </fill>
    <fill>
      <patternFill patternType="solid">
        <fgColor rgb="FFD9EAD3"/>
        <bgColor rgb="FFD9EAD3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0" xfId="0" applyAlignment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4" fontId="2" numFmtId="164" xfId="0" applyAlignment="1" applyFill="1" applyFont="1" applyNumberFormat="1">
      <alignment readingOrder="0" shrinkToFit="0" vertical="center" wrapText="1"/>
    </xf>
    <xf borderId="0" fillId="4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3" fontId="2" numFmtId="164" xfId="0" applyAlignment="1" applyFont="1" applyNumberFormat="1">
      <alignment readingOrder="0" shrinkToFit="0" vertical="center" wrapText="1"/>
    </xf>
    <xf borderId="0" fillId="3" fontId="1" numFmtId="164" xfId="0" applyAlignment="1" applyFont="1" applyNumberForma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5" fontId="1" numFmtId="0" xfId="0" applyAlignment="1" applyFill="1" applyFont="1">
      <alignment horizontal="right" readingOrder="0" shrinkToFit="0" vertical="center" wrapText="1"/>
    </xf>
    <xf borderId="0" fillId="5" fontId="1" numFmtId="164" xfId="0" applyAlignment="1" applyFont="1" applyNumberFormat="1">
      <alignment shrinkToFit="0" vertical="center" wrapText="1"/>
    </xf>
    <xf borderId="0" fillId="0" fontId="4" numFmtId="10" xfId="0" applyAlignment="1" applyFont="1" applyNumberForma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6" fontId="1" numFmtId="0" xfId="0" applyAlignment="1" applyFill="1" applyFont="1">
      <alignment horizontal="right" readingOrder="0" shrinkToFit="0" vertical="center" wrapText="1"/>
    </xf>
    <xf borderId="0" fillId="6" fontId="1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0"/>
    <col customWidth="1" min="2" max="2" width="17.0"/>
    <col customWidth="1" min="3" max="3" width="11.88"/>
    <col customWidth="1" min="4" max="4" width="6.25"/>
    <col customWidth="1" min="5" max="5" width="7.25"/>
    <col customWidth="1" min="6" max="7" width="9.13"/>
    <col customWidth="1" min="8" max="8" width="8.38"/>
    <col customWidth="1" min="9" max="13" width="6.38"/>
    <col customWidth="1" min="14" max="14" width="8.25"/>
    <col customWidth="1" min="15" max="17" width="6.38"/>
    <col customWidth="1" min="18" max="19" width="8.88"/>
    <col customWidth="1" min="20" max="20" width="10.25"/>
    <col customWidth="1" min="21" max="22" width="6.38"/>
    <col customWidth="1" min="23" max="23" width="14.88"/>
    <col customWidth="1" min="25" max="25" width="1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L1" s="2" t="s">
        <v>4</v>
      </c>
      <c r="O1" s="2" t="s">
        <v>5</v>
      </c>
      <c r="R1" s="1" t="s">
        <v>6</v>
      </c>
      <c r="S1" s="1" t="s">
        <v>7</v>
      </c>
      <c r="V1" s="3"/>
      <c r="W1" s="1"/>
      <c r="X1" s="1"/>
      <c r="Y1" s="1"/>
      <c r="Z1" s="1"/>
      <c r="AA1" s="1"/>
      <c r="AB1" s="1"/>
      <c r="AC1" s="1"/>
      <c r="AD1" s="1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>
      <c r="D2" s="1" t="s">
        <v>8</v>
      </c>
      <c r="F2" s="2" t="s">
        <v>9</v>
      </c>
      <c r="K2" s="1" t="s">
        <v>10</v>
      </c>
      <c r="S2" s="1" t="s">
        <v>11</v>
      </c>
      <c r="T2" s="1" t="s">
        <v>12</v>
      </c>
      <c r="U2" s="1" t="s">
        <v>13</v>
      </c>
      <c r="V2" s="3"/>
      <c r="W2" s="5" t="s">
        <v>14</v>
      </c>
      <c r="AA2" s="1"/>
      <c r="AB2" s="1"/>
      <c r="AC2" s="1"/>
      <c r="AD2" s="1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L3" s="1" t="s">
        <v>22</v>
      </c>
      <c r="M3" s="1" t="s">
        <v>23</v>
      </c>
      <c r="N3" s="1" t="s">
        <v>10</v>
      </c>
      <c r="O3" s="1" t="s">
        <v>24</v>
      </c>
      <c r="P3" s="1" t="s">
        <v>25</v>
      </c>
      <c r="Q3" s="1" t="s">
        <v>26</v>
      </c>
      <c r="R3" s="1" t="s">
        <v>27</v>
      </c>
      <c r="V3" s="3"/>
      <c r="W3" s="6" t="s">
        <v>28</v>
      </c>
      <c r="X3" s="6" t="s">
        <v>29</v>
      </c>
      <c r="Y3" s="6" t="s">
        <v>30</v>
      </c>
      <c r="Z3" s="6" t="s">
        <v>10</v>
      </c>
      <c r="AA3" s="1"/>
      <c r="AB3" s="1"/>
      <c r="AC3" s="1"/>
      <c r="AD3" s="1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7"/>
      <c r="B4" s="8" t="s">
        <v>31</v>
      </c>
      <c r="C4" s="9"/>
      <c r="D4" s="9"/>
      <c r="E4" s="9"/>
      <c r="F4" s="10"/>
      <c r="G4" s="10"/>
      <c r="H4" s="9"/>
      <c r="I4" s="11"/>
      <c r="J4" s="12"/>
      <c r="K4" s="11"/>
      <c r="L4" s="11"/>
      <c r="M4" s="11"/>
      <c r="N4" s="11"/>
      <c r="O4" s="10"/>
      <c r="P4" s="10"/>
      <c r="Q4" s="9"/>
      <c r="R4" s="9"/>
      <c r="S4" s="13"/>
      <c r="T4" s="13"/>
      <c r="U4" s="14"/>
      <c r="V4" s="15"/>
      <c r="W4" s="16">
        <v>0.0</v>
      </c>
      <c r="X4" s="16">
        <v>0.0</v>
      </c>
      <c r="Y4" s="16">
        <v>1500.0</v>
      </c>
      <c r="Z4" s="17">
        <f>SUM(W4:Y4)</f>
        <v>1500</v>
      </c>
      <c r="AA4" s="9"/>
      <c r="AB4" s="9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>
      <c r="A5" s="7">
        <v>1.0</v>
      </c>
      <c r="B5" s="9" t="s">
        <v>32</v>
      </c>
      <c r="C5" s="9" t="s">
        <v>33</v>
      </c>
      <c r="D5" s="9">
        <v>1000.0</v>
      </c>
      <c r="E5" s="9">
        <v>50000.0</v>
      </c>
      <c r="F5" s="10">
        <v>0.0</v>
      </c>
      <c r="G5" s="10">
        <v>0.0</v>
      </c>
      <c r="H5" s="9">
        <v>0.0</v>
      </c>
      <c r="I5" s="9">
        <v>30000.0</v>
      </c>
      <c r="J5" s="10">
        <v>0.0</v>
      </c>
      <c r="K5" s="12">
        <f>I5+J5+F5</f>
        <v>30000</v>
      </c>
      <c r="L5" s="11">
        <f>E5/D5</f>
        <v>50</v>
      </c>
      <c r="M5" s="10">
        <f>K5/D5</f>
        <v>30</v>
      </c>
      <c r="N5" s="12">
        <f>L5+M5</f>
        <v>80</v>
      </c>
      <c r="O5" s="10">
        <f>P5*D5</f>
        <v>199000</v>
      </c>
      <c r="P5" s="10">
        <v>199.0</v>
      </c>
      <c r="Q5" s="9">
        <v>1.0</v>
      </c>
      <c r="R5" s="10">
        <f>P5*Q5</f>
        <v>199</v>
      </c>
      <c r="S5" s="18">
        <f>R5-N5</f>
        <v>119</v>
      </c>
      <c r="T5" s="18">
        <f>S5*D5</f>
        <v>119000</v>
      </c>
      <c r="U5" s="14">
        <f>T5/O5</f>
        <v>0.5979899497</v>
      </c>
      <c r="V5" s="15"/>
      <c r="W5" s="19"/>
      <c r="X5" s="19"/>
      <c r="Y5" s="19"/>
      <c r="Z5" s="20"/>
      <c r="AA5" s="9"/>
      <c r="AB5" s="9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>
      <c r="A6" s="7">
        <v>2.0</v>
      </c>
      <c r="B6" s="9"/>
      <c r="C6" s="9"/>
      <c r="D6" s="9"/>
      <c r="E6" s="9"/>
      <c r="F6" s="10"/>
      <c r="G6" s="10"/>
      <c r="H6" s="9"/>
      <c r="I6" s="11"/>
      <c r="J6" s="12"/>
      <c r="K6" s="11"/>
      <c r="L6" s="11"/>
      <c r="M6" s="11"/>
      <c r="N6" s="11"/>
      <c r="O6" s="10"/>
      <c r="P6" s="10"/>
      <c r="Q6" s="9"/>
      <c r="R6" s="9"/>
      <c r="S6" s="13"/>
      <c r="T6" s="13"/>
      <c r="U6" s="14"/>
      <c r="V6" s="15"/>
      <c r="W6" s="16"/>
      <c r="X6" s="16"/>
      <c r="Y6" s="16"/>
      <c r="Z6" s="17"/>
      <c r="AA6" s="9"/>
      <c r="AB6" s="9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>
      <c r="A7" s="7">
        <v>3.0</v>
      </c>
      <c r="B7" s="9"/>
      <c r="C7" s="9"/>
      <c r="D7" s="9"/>
      <c r="E7" s="9"/>
      <c r="F7" s="10"/>
      <c r="G7" s="10"/>
      <c r="H7" s="9"/>
      <c r="I7" s="11"/>
      <c r="J7" s="12"/>
      <c r="K7" s="11"/>
      <c r="L7" s="11"/>
      <c r="M7" s="11"/>
      <c r="N7" s="11"/>
      <c r="O7" s="10"/>
      <c r="P7" s="10"/>
      <c r="Q7" s="9"/>
      <c r="R7" s="9"/>
      <c r="S7" s="13"/>
      <c r="T7" s="13"/>
      <c r="U7" s="14"/>
      <c r="V7" s="15"/>
      <c r="W7" s="19"/>
      <c r="X7" s="19"/>
      <c r="Y7" s="19"/>
      <c r="Z7" s="20"/>
      <c r="AA7" s="9"/>
      <c r="AB7" s="9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>
      <c r="A8" s="7">
        <v>4.0</v>
      </c>
      <c r="B8" s="9"/>
      <c r="C8" s="9"/>
      <c r="D8" s="9"/>
      <c r="E8" s="9"/>
      <c r="F8" s="10"/>
      <c r="G8" s="10"/>
      <c r="H8" s="9"/>
      <c r="I8" s="11"/>
      <c r="J8" s="12"/>
      <c r="K8" s="11"/>
      <c r="L8" s="11"/>
      <c r="M8" s="11"/>
      <c r="N8" s="11"/>
      <c r="O8" s="10"/>
      <c r="P8" s="10"/>
      <c r="Q8" s="9"/>
      <c r="R8" s="9"/>
      <c r="S8" s="13"/>
      <c r="T8" s="13"/>
      <c r="U8" s="14"/>
      <c r="V8" s="15"/>
      <c r="W8" s="16"/>
      <c r="X8" s="16"/>
      <c r="Y8" s="16"/>
      <c r="Z8" s="17"/>
      <c r="AA8" s="9"/>
      <c r="AB8" s="9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>
      <c r="A9" s="7">
        <v>5.0</v>
      </c>
      <c r="B9" s="9"/>
      <c r="C9" s="9"/>
      <c r="D9" s="9"/>
      <c r="E9" s="9"/>
      <c r="F9" s="10"/>
      <c r="G9" s="10"/>
      <c r="H9" s="9"/>
      <c r="I9" s="11"/>
      <c r="J9" s="12"/>
      <c r="K9" s="11"/>
      <c r="L9" s="11"/>
      <c r="M9" s="11"/>
      <c r="N9" s="11"/>
      <c r="O9" s="10"/>
      <c r="P9" s="10"/>
      <c r="Q9" s="9"/>
      <c r="R9" s="9"/>
      <c r="S9" s="13"/>
      <c r="T9" s="13"/>
      <c r="U9" s="14"/>
      <c r="V9" s="15"/>
      <c r="W9" s="19"/>
      <c r="X9" s="19"/>
      <c r="Y9" s="19"/>
      <c r="Z9" s="20"/>
      <c r="AA9" s="9"/>
      <c r="AB9" s="9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>
      <c r="A10" s="7">
        <v>6.0</v>
      </c>
      <c r="B10" s="9"/>
      <c r="C10" s="9"/>
      <c r="D10" s="9"/>
      <c r="E10" s="9"/>
      <c r="F10" s="10"/>
      <c r="G10" s="10"/>
      <c r="H10" s="9"/>
      <c r="I10" s="11"/>
      <c r="J10" s="12"/>
      <c r="K10" s="11"/>
      <c r="L10" s="11"/>
      <c r="M10" s="11"/>
      <c r="N10" s="11"/>
      <c r="O10" s="10"/>
      <c r="P10" s="10"/>
      <c r="Q10" s="9"/>
      <c r="R10" s="9"/>
      <c r="S10" s="13"/>
      <c r="T10" s="13"/>
      <c r="U10" s="14"/>
      <c r="V10" s="15"/>
      <c r="W10" s="16"/>
      <c r="X10" s="16"/>
      <c r="Y10" s="16"/>
      <c r="Z10" s="17"/>
      <c r="AA10" s="9"/>
      <c r="AB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>
      <c r="A11" s="7">
        <v>7.0</v>
      </c>
      <c r="B11" s="9"/>
      <c r="C11" s="9"/>
      <c r="D11" s="9"/>
      <c r="E11" s="9"/>
      <c r="F11" s="10"/>
      <c r="G11" s="10"/>
      <c r="H11" s="9"/>
      <c r="I11" s="11"/>
      <c r="J11" s="12"/>
      <c r="K11" s="11"/>
      <c r="L11" s="11"/>
      <c r="M11" s="11"/>
      <c r="N11" s="11"/>
      <c r="O11" s="10"/>
      <c r="P11" s="10"/>
      <c r="Q11" s="9"/>
      <c r="R11" s="9"/>
      <c r="S11" s="13"/>
      <c r="T11" s="13"/>
      <c r="U11" s="14"/>
      <c r="V11" s="15"/>
      <c r="W11" s="19"/>
      <c r="X11" s="19"/>
      <c r="Y11" s="19"/>
      <c r="Z11" s="20"/>
      <c r="AA11" s="9"/>
      <c r="AB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>
      <c r="A12" s="7">
        <v>8.0</v>
      </c>
      <c r="B12" s="9"/>
      <c r="C12" s="9"/>
      <c r="D12" s="9"/>
      <c r="E12" s="9"/>
      <c r="F12" s="10"/>
      <c r="G12" s="10"/>
      <c r="H12" s="9"/>
      <c r="I12" s="11"/>
      <c r="J12" s="12"/>
      <c r="K12" s="11"/>
      <c r="L12" s="11"/>
      <c r="M12" s="11"/>
      <c r="N12" s="11"/>
      <c r="O12" s="10"/>
      <c r="P12" s="10"/>
      <c r="Q12" s="9"/>
      <c r="R12" s="9"/>
      <c r="S12" s="13"/>
      <c r="T12" s="13"/>
      <c r="U12" s="14"/>
      <c r="V12" s="15"/>
      <c r="W12" s="16"/>
      <c r="X12" s="16"/>
      <c r="Y12" s="16"/>
      <c r="Z12" s="17"/>
      <c r="AA12" s="9"/>
      <c r="AB12" s="9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</row>
    <row r="13">
      <c r="A13" s="21"/>
      <c r="B13" s="22"/>
      <c r="C13" s="22"/>
      <c r="D13" s="22"/>
      <c r="E13" s="22"/>
      <c r="F13" s="23"/>
      <c r="G13" s="23"/>
      <c r="H13" s="22"/>
      <c r="I13" s="24"/>
      <c r="J13" s="25"/>
      <c r="K13" s="24"/>
      <c r="L13" s="24"/>
      <c r="M13" s="24"/>
      <c r="N13" s="24"/>
      <c r="O13" s="23"/>
      <c r="P13" s="23"/>
      <c r="Q13" s="22"/>
      <c r="R13" s="22"/>
      <c r="S13" s="26" t="s">
        <v>34</v>
      </c>
      <c r="T13" s="27">
        <f>SUM(T5:T12)</f>
        <v>119000</v>
      </c>
      <c r="U13" s="28"/>
      <c r="V13" s="29"/>
      <c r="W13" s="19"/>
      <c r="X13" s="19"/>
      <c r="Y13" s="19"/>
      <c r="Z13" s="20"/>
      <c r="AA13" s="9"/>
      <c r="AB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>
      <c r="A14" s="21"/>
      <c r="B14" s="22"/>
      <c r="C14" s="22"/>
      <c r="D14" s="22"/>
      <c r="E14" s="22"/>
      <c r="F14" s="23"/>
      <c r="G14" s="23"/>
      <c r="H14" s="22"/>
      <c r="I14" s="24"/>
      <c r="J14" s="25"/>
      <c r="K14" s="24"/>
      <c r="L14" s="24"/>
      <c r="M14" s="24"/>
      <c r="N14" s="24"/>
      <c r="O14" s="23"/>
      <c r="P14" s="23"/>
      <c r="Q14" s="22"/>
      <c r="R14" s="22"/>
      <c r="S14" s="30" t="s">
        <v>35</v>
      </c>
      <c r="T14" s="31">
        <f>T13-Z4</f>
        <v>117500</v>
      </c>
      <c r="U14" s="28"/>
      <c r="V14" s="29"/>
      <c r="W14" s="16"/>
      <c r="X14" s="16"/>
      <c r="Y14" s="16"/>
      <c r="Z14" s="17"/>
      <c r="AA14" s="9"/>
      <c r="AB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</row>
  </sheetData>
  <mergeCells count="15">
    <mergeCell ref="C1:C3"/>
    <mergeCell ref="D2:E2"/>
    <mergeCell ref="L1:N2"/>
    <mergeCell ref="K2:K3"/>
    <mergeCell ref="S2:S3"/>
    <mergeCell ref="T2:T3"/>
    <mergeCell ref="W2:Z2"/>
    <mergeCell ref="A1:A3"/>
    <mergeCell ref="B1:B3"/>
    <mergeCell ref="D1:K1"/>
    <mergeCell ref="O1:Q2"/>
    <mergeCell ref="R1:R2"/>
    <mergeCell ref="S1:U1"/>
    <mergeCell ref="F2:J2"/>
    <mergeCell ref="U2:U3"/>
  </mergeCells>
  <printOptions gridLines="1" horizontalCentered="1"/>
  <pageMargins bottom="2.1653543307086616" footer="0.0" header="0.0" left="0.0" right="0.0" top="0.07874015748031496"/>
  <pageSetup paperSize="6" scale="46" cellComments="atEnd" orientation="landscape" pageOrder="overThenDown"/>
  <drawing r:id="rId1"/>
</worksheet>
</file>